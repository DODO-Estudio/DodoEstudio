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B25D73B-9CE1-4A4F-8BE4-CB5615D3E9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ecios DODO St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F15" i="1"/>
  <c r="E15" i="1"/>
  <c r="C15" i="1"/>
  <c r="D13" i="1"/>
  <c r="D14" i="1" s="1"/>
  <c r="B13" i="1"/>
  <c r="B14" i="1" s="1"/>
  <c r="G12" i="1"/>
  <c r="F12" i="1"/>
  <c r="E12" i="1"/>
  <c r="C12" i="1"/>
  <c r="G11" i="1"/>
  <c r="F11" i="1"/>
  <c r="E11" i="1"/>
  <c r="C11" i="1"/>
  <c r="G10" i="1"/>
  <c r="F10" i="1"/>
  <c r="E10" i="1"/>
  <c r="C10" i="1"/>
  <c r="G9" i="1"/>
  <c r="F9" i="1"/>
  <c r="E9" i="1"/>
  <c r="C9" i="1"/>
  <c r="G8" i="1"/>
  <c r="F8" i="1"/>
  <c r="E8" i="1"/>
  <c r="C8" i="1"/>
  <c r="G7" i="1"/>
  <c r="F7" i="1"/>
  <c r="E7" i="1"/>
  <c r="C7" i="1"/>
  <c r="G6" i="1"/>
  <c r="F6" i="1"/>
  <c r="E6" i="1"/>
  <c r="C6" i="1"/>
  <c r="G5" i="1"/>
  <c r="F5" i="1"/>
  <c r="E5" i="1"/>
  <c r="C5" i="1"/>
  <c r="F14" i="1" l="1"/>
  <c r="E14" i="1"/>
  <c r="G14" i="1"/>
  <c r="C14" i="1"/>
</calcChain>
</file>

<file path=xl/sharedStrings.xml><?xml version="1.0" encoding="utf-8"?>
<sst xmlns="http://schemas.openxmlformats.org/spreadsheetml/2006/main" count="38" uniqueCount="32">
  <si>
    <t>DODO Studio — Tarifario de Servicios de Automatización con IA para Pymes (GAM, Costa Rica)</t>
  </si>
  <si>
    <t>Precios en USD. IVA Costa Rica = 13%. Moneda: Dólares.</t>
  </si>
  <si>
    <t>Servicio</t>
  </si>
  <si>
    <t>Implementación (USD)</t>
  </si>
  <si>
    <t>Impl. + IVA</t>
  </si>
  <si>
    <t>Mantenimiento Mensual (USD)</t>
  </si>
  <si>
    <t>Mant. + IVA</t>
  </si>
  <si>
    <t>Clientes para meta (mensualidad)</t>
  </si>
  <si>
    <t>Clientes para meta (implementación)</t>
  </si>
  <si>
    <t>Notas</t>
  </si>
  <si>
    <t>Chatbot de IA</t>
  </si>
  <si>
    <t>Precio ancla; incluye costo de API de IA en el mantenimiento</t>
  </si>
  <si>
    <t>Landing Page</t>
  </si>
  <si>
    <t>Sin cambio</t>
  </si>
  <si>
    <t>Recordatorios de Citas</t>
  </si>
  <si>
    <t>Missed Call Text Back</t>
  </si>
  <si>
    <t>Reagendamiento Automático</t>
  </si>
  <si>
    <t>Reactivación de Base de Datos</t>
  </si>
  <si>
    <t>Solicitud de Reseña Automática</t>
  </si>
  <si>
    <t>Automatización de Cumpleaños</t>
  </si>
  <si>
    <t>Suma si se compran todos por separado</t>
  </si>
  <si>
    <t>Paquete Completo (Ahorro del 16%)</t>
  </si>
  <si>
    <t>Incluye los 8 servicios. Mejor relación precio/valor.</t>
  </si>
  <si>
    <t>★ NUEVO — Paquete Esencial (Chatbot + Recordatorios + Missed Call + Reseñas) — Ahorro 12%</t>
  </si>
  <si>
    <t>Puerta de entrada para pymes con presupuesto menor; up-sell natural al Paquete Completo</t>
  </si>
  <si>
    <t>IVA</t>
  </si>
  <si>
    <t>Meta mensual en dólares</t>
  </si>
  <si>
    <t>Notas sobre la revisión de precios</t>
  </si>
  <si>
    <t>1) Los precios individuales y el Paquete Completo se mantienen: para el segmento objetivo (pymes medianas del GAM, ~$1.3M-$4.5M de ingresos anuales) son consistentes con lo que ya pagan por servicios profesionales (marketing, contabilidad, legal) — no están sobrevalorados.</t>
  </si>
  <si>
    <t>2) Se sube ligeramente el mantenimiento del Chatbot de IA (de $250 a $260) para reflejar mejor el costo variable de API de IA + ajustes de prompts; el resto de precios queda igual.</t>
  </si>
  <si>
    <t>3) Se agrega un 'Paquete Esencial' (nivel intermedio) como puerta de entrada de menor precio, para no perder prospectos que aún no están listos para el Paquete Completo — clásica estrategia 'bueno-mejor-óptimo' que además refuerza que el Paquete Completo es el mejor valor.</t>
  </si>
  <si>
    <t>4) Recomendación no reflejada en precio: ofrecer descuento por pago anual del mantenimiento (ej. 10 meses al precio de 12) para mejorar flujo de caja y reducir cancelaciones (churn).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</si>
</sst>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9C5700"/>
      <name val="Arial"/>
      <charset val="1"/>
    </font>
    <font>
      <b/>
      <sz val="11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2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0" fontId="2" fillId="3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0" fontId="2" fillId="4" borderId="1" xfId="0" applyFont="1" applyFill="1" applyBorder="1"/>
    <xf numFmtId="0" fontId="6" fillId="5" borderId="1" xfId="0" applyFont="1" applyFill="1" applyBorder="1"/>
    <xf numFmtId="164" fontId="5" fillId="5" borderId="1" xfId="0" applyNumberFormat="1" applyFont="1" applyFill="1" applyBorder="1"/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0" fontId="2" fillId="5" borderId="1" xfId="0" applyFont="1" applyFill="1" applyBorder="1"/>
    <xf numFmtId="0" fontId="5" fillId="0" borderId="0" xfId="0" applyFont="1"/>
    <xf numFmtId="9" fontId="4" fillId="0" borderId="0" xfId="0" applyNumberFormat="1" applyFont="1"/>
    <xf numFmtId="164" fontId="4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sqref="A1:H1"/>
    </sheetView>
  </sheetViews>
  <sheetFormatPr baseColWidth="10" defaultColWidth="8.7109375" defaultRowHeight="15" x14ac:dyDescent="0.25"/>
  <cols>
    <col min="1" max="1" width="90.85546875" customWidth="1"/>
    <col min="2" max="2" width="16" customWidth="1"/>
    <col min="3" max="3" width="12" customWidth="1"/>
    <col min="4" max="4" width="18" customWidth="1"/>
    <col min="5" max="5" width="12" customWidth="1"/>
    <col min="6" max="6" width="16.7109375" customWidth="1"/>
    <col min="7" max="7" width="18.5703125" customWidth="1"/>
    <col min="8" max="8" width="73.140625" customWidth="1"/>
  </cols>
  <sheetData>
    <row r="1" spans="1:8" ht="25.5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4.25" customHeight="1" x14ac:dyDescent="0.25"/>
    <row r="4" spans="1:8" ht="55.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s="5" t="s">
        <v>10</v>
      </c>
      <c r="B5" s="6">
        <v>700</v>
      </c>
      <c r="C5" s="7">
        <f t="shared" ref="C5:C12" si="0">B5*(1+0.13)</f>
        <v>790.99999999999989</v>
      </c>
      <c r="D5" s="6">
        <v>260</v>
      </c>
      <c r="E5" s="7">
        <f t="shared" ref="E5:E12" si="1">D5*(1+0.13)</f>
        <v>293.79999999999995</v>
      </c>
      <c r="F5" s="8">
        <f t="shared" ref="F5:F12" si="2">11300/D5</f>
        <v>43.46153846153846</v>
      </c>
      <c r="G5" s="8">
        <f t="shared" ref="G5:G12" si="3">11300/B5</f>
        <v>16.142857142857142</v>
      </c>
      <c r="H5" s="9" t="s">
        <v>11</v>
      </c>
    </row>
    <row r="6" spans="1:8" x14ac:dyDescent="0.25">
      <c r="A6" s="10" t="s">
        <v>12</v>
      </c>
      <c r="B6" s="11">
        <v>500</v>
      </c>
      <c r="C6" s="12">
        <f t="shared" si="0"/>
        <v>565</v>
      </c>
      <c r="D6" s="11">
        <v>100</v>
      </c>
      <c r="E6" s="12">
        <f t="shared" si="1"/>
        <v>112.99999999999999</v>
      </c>
      <c r="F6" s="13">
        <f t="shared" si="2"/>
        <v>113</v>
      </c>
      <c r="G6" s="13">
        <f t="shared" si="3"/>
        <v>22.6</v>
      </c>
      <c r="H6" s="14" t="s">
        <v>13</v>
      </c>
    </row>
    <row r="7" spans="1:8" x14ac:dyDescent="0.25">
      <c r="A7" s="5" t="s">
        <v>14</v>
      </c>
      <c r="B7" s="6">
        <v>150</v>
      </c>
      <c r="C7" s="7">
        <f t="shared" si="0"/>
        <v>169.49999999999997</v>
      </c>
      <c r="D7" s="6">
        <v>50</v>
      </c>
      <c r="E7" s="7">
        <f t="shared" si="1"/>
        <v>56.499999999999993</v>
      </c>
      <c r="F7" s="8">
        <f t="shared" si="2"/>
        <v>226</v>
      </c>
      <c r="G7" s="8">
        <f t="shared" si="3"/>
        <v>75.333333333333329</v>
      </c>
      <c r="H7" s="9" t="s">
        <v>13</v>
      </c>
    </row>
    <row r="8" spans="1:8" x14ac:dyDescent="0.25">
      <c r="A8" s="10" t="s">
        <v>15</v>
      </c>
      <c r="B8" s="11">
        <v>150</v>
      </c>
      <c r="C8" s="12">
        <f t="shared" si="0"/>
        <v>169.49999999999997</v>
      </c>
      <c r="D8" s="11">
        <v>50</v>
      </c>
      <c r="E8" s="12">
        <f t="shared" si="1"/>
        <v>56.499999999999993</v>
      </c>
      <c r="F8" s="13">
        <f t="shared" si="2"/>
        <v>226</v>
      </c>
      <c r="G8" s="13">
        <f t="shared" si="3"/>
        <v>75.333333333333329</v>
      </c>
      <c r="H8" s="14" t="s">
        <v>13</v>
      </c>
    </row>
    <row r="9" spans="1:8" x14ac:dyDescent="0.25">
      <c r="A9" s="5" t="s">
        <v>16</v>
      </c>
      <c r="B9" s="6">
        <v>150</v>
      </c>
      <c r="C9" s="7">
        <f t="shared" si="0"/>
        <v>169.49999999999997</v>
      </c>
      <c r="D9" s="6">
        <v>40</v>
      </c>
      <c r="E9" s="7">
        <f t="shared" si="1"/>
        <v>45.199999999999996</v>
      </c>
      <c r="F9" s="8">
        <f t="shared" si="2"/>
        <v>282.5</v>
      </c>
      <c r="G9" s="8">
        <f t="shared" si="3"/>
        <v>75.333333333333329</v>
      </c>
      <c r="H9" s="9" t="s">
        <v>13</v>
      </c>
    </row>
    <row r="10" spans="1:8" x14ac:dyDescent="0.25">
      <c r="A10" s="10" t="s">
        <v>17</v>
      </c>
      <c r="B10" s="11">
        <v>300</v>
      </c>
      <c r="C10" s="12">
        <f t="shared" si="0"/>
        <v>338.99999999999994</v>
      </c>
      <c r="D10" s="11">
        <v>75</v>
      </c>
      <c r="E10" s="12">
        <f t="shared" si="1"/>
        <v>84.749999999999986</v>
      </c>
      <c r="F10" s="13">
        <f t="shared" si="2"/>
        <v>150.66666666666666</v>
      </c>
      <c r="G10" s="13">
        <f t="shared" si="3"/>
        <v>37.666666666666664</v>
      </c>
      <c r="H10" s="14" t="s">
        <v>13</v>
      </c>
    </row>
    <row r="11" spans="1:8" x14ac:dyDescent="0.25">
      <c r="A11" s="5" t="s">
        <v>18</v>
      </c>
      <c r="B11" s="6">
        <v>250</v>
      </c>
      <c r="C11" s="7">
        <f t="shared" si="0"/>
        <v>282.5</v>
      </c>
      <c r="D11" s="6">
        <v>30</v>
      </c>
      <c r="E11" s="7">
        <f t="shared" si="1"/>
        <v>33.9</v>
      </c>
      <c r="F11" s="8">
        <f t="shared" si="2"/>
        <v>376.66666666666669</v>
      </c>
      <c r="G11" s="8">
        <f t="shared" si="3"/>
        <v>45.2</v>
      </c>
      <c r="H11" s="9" t="s">
        <v>13</v>
      </c>
    </row>
    <row r="12" spans="1:8" x14ac:dyDescent="0.25">
      <c r="A12" s="10" t="s">
        <v>19</v>
      </c>
      <c r="B12" s="11">
        <v>200</v>
      </c>
      <c r="C12" s="12">
        <f t="shared" si="0"/>
        <v>225.99999999999997</v>
      </c>
      <c r="D12" s="11">
        <v>25</v>
      </c>
      <c r="E12" s="12">
        <f t="shared" si="1"/>
        <v>28.249999999999996</v>
      </c>
      <c r="F12" s="13">
        <f t="shared" si="2"/>
        <v>452</v>
      </c>
      <c r="G12" s="13">
        <f t="shared" si="3"/>
        <v>56.5</v>
      </c>
      <c r="H12" s="14" t="s">
        <v>13</v>
      </c>
    </row>
    <row r="13" spans="1:8" x14ac:dyDescent="0.25">
      <c r="A13" s="15" t="s">
        <v>20</v>
      </c>
      <c r="B13" s="16">
        <f>SUM(B5:B12)</f>
        <v>2400</v>
      </c>
      <c r="C13" s="17"/>
      <c r="D13" s="16">
        <f>SUM(D5:D12)</f>
        <v>630</v>
      </c>
      <c r="E13" s="17"/>
      <c r="F13" s="17"/>
      <c r="G13" s="17"/>
      <c r="H13" s="17"/>
    </row>
    <row r="14" spans="1:8" x14ac:dyDescent="0.25">
      <c r="A14" s="18" t="s">
        <v>21</v>
      </c>
      <c r="B14" s="19">
        <f>B13*(1-0.16)</f>
        <v>2016</v>
      </c>
      <c r="C14" s="20">
        <f>B14*(1+0.13)</f>
        <v>2278.08</v>
      </c>
      <c r="D14" s="19">
        <f>D13*(1-0.16)</f>
        <v>529.19999999999993</v>
      </c>
      <c r="E14" s="20">
        <f>D14*(1+0.13)</f>
        <v>597.99599999999987</v>
      </c>
      <c r="F14" s="21">
        <f>11300/D14</f>
        <v>21.352985638699927</v>
      </c>
      <c r="G14" s="21">
        <f>11300/B14</f>
        <v>5.6051587301587302</v>
      </c>
      <c r="H14" s="22" t="s">
        <v>22</v>
      </c>
    </row>
    <row r="15" spans="1:8" x14ac:dyDescent="0.25">
      <c r="A15" s="23" t="s">
        <v>23</v>
      </c>
      <c r="B15" s="24">
        <v>1100</v>
      </c>
      <c r="C15" s="25">
        <f>B15*(1+0.13)</f>
        <v>1242.9999999999998</v>
      </c>
      <c r="D15" s="24">
        <v>343</v>
      </c>
      <c r="E15" s="25">
        <f>D15*(1+0.13)</f>
        <v>387.59</v>
      </c>
      <c r="F15" s="26">
        <f>11300/D15</f>
        <v>32.944606413994173</v>
      </c>
      <c r="G15" s="26">
        <f>11300/B15</f>
        <v>10.272727272727273</v>
      </c>
      <c r="H15" s="27" t="s">
        <v>24</v>
      </c>
    </row>
    <row r="17" spans="1:8" x14ac:dyDescent="0.25">
      <c r="A17" s="28" t="s">
        <v>25</v>
      </c>
      <c r="B17" s="29">
        <v>0.13</v>
      </c>
    </row>
    <row r="18" spans="1:8" x14ac:dyDescent="0.25">
      <c r="A18" s="28" t="s">
        <v>26</v>
      </c>
      <c r="B18" s="30">
        <v>11300</v>
      </c>
    </row>
    <row r="20" spans="1:8" x14ac:dyDescent="0.25">
      <c r="A20" s="31" t="s">
        <v>27</v>
      </c>
    </row>
    <row r="21" spans="1:8" ht="30" customHeight="1" x14ac:dyDescent="0.25">
      <c r="A21" s="1" t="s">
        <v>28</v>
      </c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 t="s">
        <v>29</v>
      </c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 t="s">
        <v>30</v>
      </c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 t="s">
        <v>31</v>
      </c>
      <c r="B24" s="1"/>
      <c r="C24" s="1"/>
      <c r="D24" s="1"/>
      <c r="E24" s="1"/>
      <c r="F24" s="1"/>
      <c r="G24" s="1"/>
      <c r="H24" s="1"/>
    </row>
  </sheetData>
  <mergeCells count="6">
    <mergeCell ref="A24:H24"/>
    <mergeCell ref="A1:H1"/>
    <mergeCell ref="A2:H2"/>
    <mergeCell ref="A21:H21"/>
    <mergeCell ref="A22:H22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DODO 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PEDRO GUZMAN RIVERA</cp:lastModifiedBy>
  <cp:revision>0</cp:revision>
  <dcterms:created xsi:type="dcterms:W3CDTF">2026-07-28T04:17:18Z</dcterms:created>
  <dcterms:modified xsi:type="dcterms:W3CDTF">2026-07-28T04:24:13Z</dcterms:modified>
  <dc:language>en-US</dc:language>
</cp:coreProperties>
</file>